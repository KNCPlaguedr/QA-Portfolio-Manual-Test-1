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43DEFD29-C227-4455-9D92-651EF3AE76B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Execução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" i="1" l="1"/>
  <c r="B29" i="1"/>
  <c r="B27" i="1"/>
  <c r="B26" i="1"/>
  <c r="B25" i="1"/>
  <c r="B28" i="1"/>
</calcChain>
</file>

<file path=xl/sharedStrings.xml><?xml version="1.0" encoding="utf-8"?>
<sst xmlns="http://schemas.openxmlformats.org/spreadsheetml/2006/main" count="189" uniqueCount="78">
  <si>
    <t>ID</t>
  </si>
  <si>
    <t>Caso de Teste</t>
  </si>
  <si>
    <t>Funcionalidade</t>
  </si>
  <si>
    <t>Prioridade</t>
  </si>
  <si>
    <t>Ciclo</t>
  </si>
  <si>
    <t>Status</t>
  </si>
  <si>
    <t>Data Execução</t>
  </si>
  <si>
    <t>Executado por</t>
  </si>
  <si>
    <t>Evidência</t>
  </si>
  <si>
    <t>Observações</t>
  </si>
  <si>
    <t>CT-01</t>
  </si>
  <si>
    <t>Carregamento da Home e catálogo de produtos</t>
  </si>
  <si>
    <t>Página inicial</t>
  </si>
  <si>
    <t>Alta</t>
  </si>
  <si>
    <t>Ciclo 1</t>
  </si>
  <si>
    <t>Passou</t>
  </si>
  <si>
    <t>Luiz Maciel</t>
  </si>
  <si>
    <t>CT-02</t>
  </si>
  <si>
    <t>Navegação por categorias de produtos</t>
  </si>
  <si>
    <t>Navegação/Catálogo</t>
  </si>
  <si>
    <t>Média</t>
  </si>
  <si>
    <t>CT-03</t>
  </si>
  <si>
    <t>Visualização de detalhes do produto</t>
  </si>
  <si>
    <t>Página de produto</t>
  </si>
  <si>
    <t>CT-04</t>
  </si>
  <si>
    <t>Cadastro de novo usuário</t>
  </si>
  <si>
    <t>Cadastro</t>
  </si>
  <si>
    <t>CT-05</t>
  </si>
  <si>
    <t>Cadastro com username já existente</t>
  </si>
  <si>
    <t>CT-06</t>
  </si>
  <si>
    <t>Cadastro com campos obrigatórios vazios</t>
  </si>
  <si>
    <t>CT-07</t>
  </si>
  <si>
    <t>Login com credenciais válidas</t>
  </si>
  <si>
    <t>Login</t>
  </si>
  <si>
    <t>CT-08</t>
  </si>
  <si>
    <t>Login com senha incorreta</t>
  </si>
  <si>
    <t>CT-09</t>
  </si>
  <si>
    <t>Login com usuário inexistente</t>
  </si>
  <si>
    <t>CT-10</t>
  </si>
  <si>
    <t>Logout do usuário autenticado</t>
  </si>
  <si>
    <t>Login/Logout</t>
  </si>
  <si>
    <t>CT-11</t>
  </si>
  <si>
    <t>Adicionar produto ao carrinho</t>
  </si>
  <si>
    <t>Carrinho</t>
  </si>
  <si>
    <t>CT-12</t>
  </si>
  <si>
    <t>Adicionar múltiplos produtos e validar cálculo do total</t>
  </si>
  <si>
    <t>CT-13</t>
  </si>
  <si>
    <t>Remover produto do carrinho e validar recálculo do total</t>
  </si>
  <si>
    <t>CT-14</t>
  </si>
  <si>
    <t>Finalizar compra com o carrinho vazio</t>
  </si>
  <si>
    <t>Checkout</t>
  </si>
  <si>
    <t>Falhou</t>
  </si>
  <si>
    <t>Realizou a compra sem nada no carrinho</t>
  </si>
  <si>
    <t>CT-15</t>
  </si>
  <si>
    <t>Finalizar compra</t>
  </si>
  <si>
    <t>CT-16</t>
  </si>
  <si>
    <t>Finalizar compra com campos obrigatórios vazios</t>
  </si>
  <si>
    <t>CT-17</t>
  </si>
  <si>
    <t>Finalizar compra com dados de cartão inválidos</t>
  </si>
  <si>
    <t>Aceita caracteres não válidos</t>
  </si>
  <si>
    <t>CT-18</t>
  </si>
  <si>
    <t>Envio válido do formulário de contato</t>
  </si>
  <si>
    <t>Contato</t>
  </si>
  <si>
    <t>Baixa</t>
  </si>
  <si>
    <t>CT-19</t>
  </si>
  <si>
    <t>Formulário de contato com e-mail inválido ou campos vazios</t>
  </si>
  <si>
    <t>Não valida e-mail ou campos vazios</t>
  </si>
  <si>
    <t>CT-20</t>
  </si>
  <si>
    <t>Responsividade básica em viewport mobile</t>
  </si>
  <si>
    <t>Responsividade</t>
  </si>
  <si>
    <t>CT-21</t>
  </si>
  <si>
    <t>Estar logado para finalizar compra</t>
  </si>
  <si>
    <t>É possivel finalizar compra sem log in</t>
  </si>
  <si>
    <t>Resumo do ciclo:</t>
  </si>
  <si>
    <t>Total de casos</t>
  </si>
  <si>
    <t>Bloqueado</t>
  </si>
  <si>
    <t>Não executado</t>
  </si>
  <si>
    <t>% Executado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</si>
</sst>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F3B52"/>
        <bgColor rgb="FF333399"/>
      </patternFill>
    </fill>
    <fill>
      <patternFill patternType="solid">
        <fgColor rgb="FFF2F4F7"/>
        <bgColor rgb="FFFFFFFF"/>
      </patternFill>
    </fill>
  </fills>
  <borders count="2">
    <border>
      <left/>
      <right/>
      <top/>
      <bottom/>
      <diagonal/>
    </border>
    <border>
      <left style="thin">
        <color rgb="FFB9C0CC"/>
      </left>
      <right style="thin">
        <color rgb="FFB9C0CC"/>
      </right>
      <top style="thin">
        <color rgb="FFB9C0CC"/>
      </top>
      <bottom style="thin">
        <color rgb="FFB9C0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/>
    </xf>
    <xf numFmtId="0" fontId="3" fillId="0" borderId="0" xfId="0" applyFont="1"/>
    <xf numFmtId="0" fontId="2" fillId="0" borderId="0" xfId="0" applyFont="1"/>
    <xf numFmtId="9" fontId="2" fillId="0" borderId="0" xfId="0" applyNumberFormat="1" applyFont="1"/>
    <xf numFmtId="0" fontId="4" fillId="0" borderId="1" xfId="1" applyBorder="1" applyAlignment="1">
      <alignment vertical="center" wrapText="1"/>
    </xf>
    <xf numFmtId="0" fontId="4" fillId="3" borderId="1" xfId="1" applyFill="1" applyBorder="1" applyAlignment="1">
      <alignment vertical="center" wrapText="1"/>
    </xf>
  </cellXfs>
  <cellStyles count="2">
    <cellStyle name="Hyperlink" xfId="1" xr:uid="{00000000-000B-0000-0000-000008000000}"/>
    <cellStyle name="Normal" xfId="0" builtinId="0"/>
  </cellStyles>
  <dxfs count="4">
    <dxf>
      <font>
        <b/>
        <sz val="10"/>
        <color rgb="FFFFFFFF"/>
        <name val="Arial"/>
        <charset val="1"/>
      </font>
      <fill>
        <patternFill>
          <bgColor rgb="FF6B7280"/>
        </patternFill>
      </fill>
    </dxf>
    <dxf>
      <font>
        <b/>
        <sz val="10"/>
        <color rgb="FFFFFFFF"/>
        <name val="Arial"/>
        <charset val="1"/>
      </font>
      <fill>
        <patternFill>
          <bgColor rgb="FFB7791F"/>
        </patternFill>
      </fill>
    </dxf>
    <dxf>
      <font>
        <b/>
        <sz val="10"/>
        <color rgb="FFFFFFFF"/>
        <name val="Arial"/>
        <charset val="1"/>
      </font>
      <fill>
        <patternFill>
          <bgColor rgb="FFC0392B"/>
        </patternFill>
      </fill>
    </dxf>
    <dxf>
      <font>
        <b/>
        <sz val="10"/>
        <color rgb="FFFFFFFF"/>
        <name val="Arial"/>
        <charset val="1"/>
      </font>
      <fill>
        <patternFill>
          <bgColor rgb="FF1E6F4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1E6F46"/>
      <rgbColor rgb="FFB9C0CC"/>
      <rgbColor rgb="FF777777"/>
      <rgbColor rgb="FF9999FF"/>
      <rgbColor rgb="FF993366"/>
      <rgbColor rgb="FFF2F4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F3B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Dd1ttm4FGyIV3EJPlx10SxcMXKjr-Nxh/view?usp=sharing" TargetMode="External"/><Relationship Id="rId13" Type="http://schemas.openxmlformats.org/officeDocument/2006/relationships/hyperlink" Target="https://drive.google.com/file/d/1aiZdJusDNINTMMmMFWF5isNVaW4ksliz/view?usp=sharing" TargetMode="External"/><Relationship Id="rId18" Type="http://schemas.openxmlformats.org/officeDocument/2006/relationships/hyperlink" Target="https://drive.google.com/file/d/1zKqN0LdkBurBUkiAUrkc2msuI5xJbwFm/view?usp=sharing" TargetMode="External"/><Relationship Id="rId3" Type="http://schemas.openxmlformats.org/officeDocument/2006/relationships/hyperlink" Target="https://drive.google.com/file/d/1dIPFmdWU0tbgM4SEw1GJ7EHeVBi7jwM4/view?usp=sharing" TargetMode="External"/><Relationship Id="rId21" Type="http://schemas.openxmlformats.org/officeDocument/2006/relationships/hyperlink" Target="https://drive.google.com/file/d/11nJEwQm29ThHylOPD0MA7ru1NWe4I5aQ/view?usp=sharing" TargetMode="External"/><Relationship Id="rId7" Type="http://schemas.openxmlformats.org/officeDocument/2006/relationships/hyperlink" Target="https://drive.google.com/file/d/1ASv-7xWBWgxWyIYGULdi2C5ox7fF3qUj/view?usp=sharing" TargetMode="External"/><Relationship Id="rId12" Type="http://schemas.openxmlformats.org/officeDocument/2006/relationships/hyperlink" Target="https://drive.google.com/file/d/1-OTxcfjhahjtMQ83ajWeXXUZe3OvJl7c/view?usp=sharing" TargetMode="External"/><Relationship Id="rId17" Type="http://schemas.openxmlformats.org/officeDocument/2006/relationships/hyperlink" Target="https://drive.google.com/file/d/1RnLG0EVydrObjJZDYxCZx0RunIozPNnQ/view?usp=sharing" TargetMode="External"/><Relationship Id="rId2" Type="http://schemas.openxmlformats.org/officeDocument/2006/relationships/hyperlink" Target="https://drive.google.com/drive/folders/1Pcl5DsRZu1kffKZHEVgbX4TAnuSKV_fX?usp=sharing" TargetMode="External"/><Relationship Id="rId16" Type="http://schemas.openxmlformats.org/officeDocument/2006/relationships/hyperlink" Target="https://drive.google.com/file/d/1hxzguXV7xjYFALTs4ZPDG9li8JKWbiKy/view?usp=sharing" TargetMode="External"/><Relationship Id="rId20" Type="http://schemas.openxmlformats.org/officeDocument/2006/relationships/hyperlink" Target="https://drive.google.com/file/d/1WoIrpcDOauCmUp8sNH5BMnnoh0TsGt2T/view?usp=sharing" TargetMode="External"/><Relationship Id="rId1" Type="http://schemas.openxmlformats.org/officeDocument/2006/relationships/hyperlink" Target="https://drive.google.com/file/d/1u-eyFPtA1Mz2qshFphlOcuFxlYFA376e/view?usp=sharing" TargetMode="External"/><Relationship Id="rId6" Type="http://schemas.openxmlformats.org/officeDocument/2006/relationships/hyperlink" Target="https://drive.google.com/file/d/1LXow35bs6_tAY-STObtEA7dHbBTtieVb/view?usp=sharing" TargetMode="External"/><Relationship Id="rId11" Type="http://schemas.openxmlformats.org/officeDocument/2006/relationships/hyperlink" Target="https://drive.google.com/drive/folders/1m4GOobVuP0uUdsZoWRLJ-IXF9rF4BYI-?usp=sharing" TargetMode="External"/><Relationship Id="rId5" Type="http://schemas.openxmlformats.org/officeDocument/2006/relationships/hyperlink" Target="https://drive.google.com/file/d/1fyUPqKBDRcf5O8NHj7pky04rmRPGkVsj/view?usp=sharing" TargetMode="External"/><Relationship Id="rId15" Type="http://schemas.openxmlformats.org/officeDocument/2006/relationships/hyperlink" Target="https://drive.google.com/file/d/1LBqaGO_zlsjgJiO48y11K9gyduV1JhvG/view?usp=sharing" TargetMode="External"/><Relationship Id="rId10" Type="http://schemas.openxmlformats.org/officeDocument/2006/relationships/hyperlink" Target="https://drive.google.com/file/d/1r0j6heHDkCHXd94O8kiGUjrqHT_5J47M/view?usp=sharing" TargetMode="External"/><Relationship Id="rId19" Type="http://schemas.openxmlformats.org/officeDocument/2006/relationships/hyperlink" Target="https://drive.google.com/drive/folders/16ML8w-zXVWsDAnKMfKISIlGaQcCqhVdl?usp=sharing" TargetMode="External"/><Relationship Id="rId4" Type="http://schemas.openxmlformats.org/officeDocument/2006/relationships/hyperlink" Target="https://drive.google.com/file/d/1dw1GnQvReWRwdtcMp6Zpslh19bUciYYT/view?usp=sharing" TargetMode="External"/><Relationship Id="rId9" Type="http://schemas.openxmlformats.org/officeDocument/2006/relationships/hyperlink" Target="https://drive.google.com/file/d/1kKzHDjm00u7x930Z6FFwhkAuTqKImeOA/view?usp=sharing" TargetMode="External"/><Relationship Id="rId14" Type="http://schemas.openxmlformats.org/officeDocument/2006/relationships/hyperlink" Target="https://drive.google.com/file/d/187n3ztSeMCVmh9k3UeCAkYeDo1Zaddml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Normal="100" workbookViewId="0">
      <pane ySplit="1" topLeftCell="A10" activePane="bottomLeft" state="frozen"/>
      <selection pane="bottomLeft" activeCell="B22" sqref="B22"/>
    </sheetView>
  </sheetViews>
  <sheetFormatPr defaultColWidth="8.7109375" defaultRowHeight="15"/>
  <cols>
    <col min="1" max="1" width="18.5703125" customWidth="1"/>
    <col min="2" max="2" width="40" customWidth="1"/>
    <col min="3" max="3" width="21" customWidth="1"/>
    <col min="4" max="5" width="10" customWidth="1"/>
    <col min="6" max="7" width="14" customWidth="1"/>
    <col min="8" max="8" width="16" customWidth="1"/>
    <col min="9" max="9" width="34" customWidth="1"/>
    <col min="10" max="10" width="40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.75" customHeight="1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4">
        <v>46231</v>
      </c>
      <c r="H2" s="2" t="s">
        <v>16</v>
      </c>
      <c r="I2" s="11" t="s">
        <v>8</v>
      </c>
      <c r="J2" s="3"/>
    </row>
    <row r="3" spans="1:10" ht="27.75" customHeight="1">
      <c r="A3" s="5" t="s">
        <v>17</v>
      </c>
      <c r="B3" s="6" t="s">
        <v>18</v>
      </c>
      <c r="C3" s="5" t="s">
        <v>19</v>
      </c>
      <c r="D3" s="2" t="s">
        <v>20</v>
      </c>
      <c r="E3" s="5" t="s">
        <v>14</v>
      </c>
      <c r="F3" s="2" t="s">
        <v>15</v>
      </c>
      <c r="G3" s="7">
        <v>46231</v>
      </c>
      <c r="H3" s="2" t="s">
        <v>16</v>
      </c>
      <c r="I3" s="12" t="s">
        <v>8</v>
      </c>
      <c r="J3" s="6"/>
    </row>
    <row r="4" spans="1:10" ht="27.75" customHeight="1">
      <c r="A4" s="2" t="s">
        <v>21</v>
      </c>
      <c r="B4" s="3" t="s">
        <v>22</v>
      </c>
      <c r="C4" s="2" t="s">
        <v>23</v>
      </c>
      <c r="D4" s="2" t="s">
        <v>13</v>
      </c>
      <c r="E4" s="2" t="s">
        <v>14</v>
      </c>
      <c r="F4" s="2" t="s">
        <v>15</v>
      </c>
      <c r="G4" s="4">
        <v>46231</v>
      </c>
      <c r="H4" s="2" t="s">
        <v>16</v>
      </c>
      <c r="I4" s="11" t="s">
        <v>8</v>
      </c>
      <c r="J4" s="3"/>
    </row>
    <row r="5" spans="1:10" ht="27.75" customHeight="1">
      <c r="A5" s="5" t="s">
        <v>24</v>
      </c>
      <c r="B5" s="6" t="s">
        <v>25</v>
      </c>
      <c r="C5" s="5" t="s">
        <v>26</v>
      </c>
      <c r="D5" s="2" t="s">
        <v>20</v>
      </c>
      <c r="E5" s="5" t="s">
        <v>14</v>
      </c>
      <c r="F5" s="2" t="s">
        <v>15</v>
      </c>
      <c r="G5" s="7">
        <v>46231</v>
      </c>
      <c r="H5" s="2" t="s">
        <v>16</v>
      </c>
      <c r="I5" s="12" t="s">
        <v>8</v>
      </c>
      <c r="J5" s="6"/>
    </row>
    <row r="6" spans="1:10" ht="27.75" customHeight="1">
      <c r="A6" s="2" t="s">
        <v>27</v>
      </c>
      <c r="B6" s="3" t="s">
        <v>28</v>
      </c>
      <c r="C6" s="2" t="s">
        <v>26</v>
      </c>
      <c r="D6" s="2" t="s">
        <v>20</v>
      </c>
      <c r="E6" s="2" t="s">
        <v>14</v>
      </c>
      <c r="F6" s="2" t="s">
        <v>15</v>
      </c>
      <c r="G6" s="4">
        <v>46231</v>
      </c>
      <c r="H6" s="2" t="s">
        <v>16</v>
      </c>
      <c r="I6" s="11" t="s">
        <v>8</v>
      </c>
      <c r="J6" s="3"/>
    </row>
    <row r="7" spans="1:10" ht="27.75" customHeight="1">
      <c r="A7" s="5" t="s">
        <v>29</v>
      </c>
      <c r="B7" s="6" t="s">
        <v>30</v>
      </c>
      <c r="C7" s="5" t="s">
        <v>26</v>
      </c>
      <c r="D7" s="2" t="s">
        <v>20</v>
      </c>
      <c r="E7" s="5" t="s">
        <v>14</v>
      </c>
      <c r="F7" s="2" t="s">
        <v>15</v>
      </c>
      <c r="G7" s="7">
        <v>46231</v>
      </c>
      <c r="H7" s="2" t="s">
        <v>16</v>
      </c>
      <c r="I7" s="12" t="s">
        <v>8</v>
      </c>
      <c r="J7" s="6"/>
    </row>
    <row r="8" spans="1:10" ht="27.75" customHeight="1">
      <c r="A8" s="2" t="s">
        <v>31</v>
      </c>
      <c r="B8" s="3" t="s">
        <v>32</v>
      </c>
      <c r="C8" s="2" t="s">
        <v>33</v>
      </c>
      <c r="D8" s="2" t="s">
        <v>13</v>
      </c>
      <c r="E8" s="2" t="s">
        <v>14</v>
      </c>
      <c r="F8" s="2" t="s">
        <v>15</v>
      </c>
      <c r="G8" s="4">
        <v>46231</v>
      </c>
      <c r="H8" s="2" t="s">
        <v>16</v>
      </c>
      <c r="I8" s="11" t="s">
        <v>8</v>
      </c>
      <c r="J8" s="3"/>
    </row>
    <row r="9" spans="1:10" ht="27.75" customHeight="1">
      <c r="A9" s="5" t="s">
        <v>34</v>
      </c>
      <c r="B9" s="6" t="s">
        <v>35</v>
      </c>
      <c r="C9" s="5" t="s">
        <v>33</v>
      </c>
      <c r="D9" s="2" t="s">
        <v>13</v>
      </c>
      <c r="E9" s="5" t="s">
        <v>14</v>
      </c>
      <c r="F9" s="2" t="s">
        <v>15</v>
      </c>
      <c r="G9" s="7">
        <v>46231</v>
      </c>
      <c r="H9" s="2" t="s">
        <v>16</v>
      </c>
      <c r="I9" s="12" t="s">
        <v>8</v>
      </c>
      <c r="J9" s="6"/>
    </row>
    <row r="10" spans="1:10" ht="27.75" customHeight="1">
      <c r="A10" s="2" t="s">
        <v>36</v>
      </c>
      <c r="B10" s="3" t="s">
        <v>37</v>
      </c>
      <c r="C10" s="2" t="s">
        <v>33</v>
      </c>
      <c r="D10" s="2" t="s">
        <v>13</v>
      </c>
      <c r="E10" s="2" t="s">
        <v>14</v>
      </c>
      <c r="F10" s="2" t="s">
        <v>15</v>
      </c>
      <c r="G10" s="4">
        <v>46231</v>
      </c>
      <c r="H10" s="2" t="s">
        <v>16</v>
      </c>
      <c r="I10" s="11" t="s">
        <v>8</v>
      </c>
      <c r="J10" s="3"/>
    </row>
    <row r="11" spans="1:10" ht="27.75" customHeight="1">
      <c r="A11" s="5" t="s">
        <v>38</v>
      </c>
      <c r="B11" s="6" t="s">
        <v>39</v>
      </c>
      <c r="C11" s="5" t="s">
        <v>40</v>
      </c>
      <c r="D11" s="2" t="s">
        <v>13</v>
      </c>
      <c r="E11" s="5" t="s">
        <v>14</v>
      </c>
      <c r="F11" s="2" t="s">
        <v>15</v>
      </c>
      <c r="G11" s="7">
        <v>46231</v>
      </c>
      <c r="H11" s="2" t="s">
        <v>16</v>
      </c>
      <c r="I11" s="12" t="s">
        <v>8</v>
      </c>
      <c r="J11" s="6"/>
    </row>
    <row r="12" spans="1:10" ht="27.75" customHeight="1">
      <c r="A12" s="2" t="s">
        <v>41</v>
      </c>
      <c r="B12" s="3" t="s">
        <v>42</v>
      </c>
      <c r="C12" s="2" t="s">
        <v>43</v>
      </c>
      <c r="D12" s="2" t="s">
        <v>13</v>
      </c>
      <c r="E12" s="2" t="s">
        <v>14</v>
      </c>
      <c r="F12" s="2" t="s">
        <v>15</v>
      </c>
      <c r="G12" s="4">
        <v>46231</v>
      </c>
      <c r="H12" s="2" t="s">
        <v>16</v>
      </c>
      <c r="I12" s="11" t="s">
        <v>8</v>
      </c>
      <c r="J12" s="3"/>
    </row>
    <row r="13" spans="1:10" ht="27.75" customHeight="1">
      <c r="A13" s="5" t="s">
        <v>44</v>
      </c>
      <c r="B13" s="6" t="s">
        <v>45</v>
      </c>
      <c r="C13" s="5" t="s">
        <v>43</v>
      </c>
      <c r="D13" s="2" t="s">
        <v>13</v>
      </c>
      <c r="E13" s="5" t="s">
        <v>14</v>
      </c>
      <c r="F13" s="2" t="s">
        <v>15</v>
      </c>
      <c r="G13" s="7">
        <v>46231</v>
      </c>
      <c r="H13" s="2" t="s">
        <v>16</v>
      </c>
      <c r="I13" s="12" t="s">
        <v>8</v>
      </c>
      <c r="J13" s="6"/>
    </row>
    <row r="14" spans="1:10" ht="27.75" customHeight="1">
      <c r="A14" s="2" t="s">
        <v>46</v>
      </c>
      <c r="B14" s="3" t="s">
        <v>47</v>
      </c>
      <c r="C14" s="2" t="s">
        <v>43</v>
      </c>
      <c r="D14" s="2" t="s">
        <v>13</v>
      </c>
      <c r="E14" s="2" t="s">
        <v>14</v>
      </c>
      <c r="F14" s="2" t="s">
        <v>15</v>
      </c>
      <c r="G14" s="4">
        <v>46231</v>
      </c>
      <c r="H14" s="2" t="s">
        <v>16</v>
      </c>
      <c r="I14" s="11" t="s">
        <v>8</v>
      </c>
      <c r="J14" s="3"/>
    </row>
    <row r="15" spans="1:10" ht="27.75" customHeight="1">
      <c r="A15" s="5" t="s">
        <v>48</v>
      </c>
      <c r="B15" s="6" t="s">
        <v>49</v>
      </c>
      <c r="C15" s="5" t="s">
        <v>50</v>
      </c>
      <c r="D15" s="2" t="s">
        <v>20</v>
      </c>
      <c r="E15" s="5" t="s">
        <v>14</v>
      </c>
      <c r="F15" s="2" t="s">
        <v>51</v>
      </c>
      <c r="G15" s="7">
        <v>46231</v>
      </c>
      <c r="H15" s="2" t="s">
        <v>16</v>
      </c>
      <c r="I15" s="12" t="s">
        <v>8</v>
      </c>
      <c r="J15" s="6" t="s">
        <v>52</v>
      </c>
    </row>
    <row r="16" spans="1:10" ht="27.75" customHeight="1">
      <c r="A16" s="2" t="s">
        <v>53</v>
      </c>
      <c r="B16" s="3" t="s">
        <v>54</v>
      </c>
      <c r="C16" s="2" t="s">
        <v>50</v>
      </c>
      <c r="D16" s="2" t="s">
        <v>13</v>
      </c>
      <c r="E16" s="2" t="s">
        <v>14</v>
      </c>
      <c r="F16" s="2" t="s">
        <v>15</v>
      </c>
      <c r="G16" s="4">
        <v>46231</v>
      </c>
      <c r="H16" s="2" t="s">
        <v>16</v>
      </c>
      <c r="I16" s="11" t="s">
        <v>8</v>
      </c>
      <c r="J16" s="3"/>
    </row>
    <row r="17" spans="1:10" ht="27.75" customHeight="1">
      <c r="A17" s="5" t="s">
        <v>55</v>
      </c>
      <c r="B17" s="6" t="s">
        <v>56</v>
      </c>
      <c r="C17" s="5" t="s">
        <v>50</v>
      </c>
      <c r="D17" s="2" t="s">
        <v>13</v>
      </c>
      <c r="E17" s="5" t="s">
        <v>14</v>
      </c>
      <c r="F17" s="2" t="s">
        <v>15</v>
      </c>
      <c r="G17" s="7">
        <v>46231</v>
      </c>
      <c r="H17" s="2" t="s">
        <v>16</v>
      </c>
      <c r="I17" s="12" t="s">
        <v>8</v>
      </c>
      <c r="J17" s="6"/>
    </row>
    <row r="18" spans="1:10" ht="27.75" customHeight="1">
      <c r="A18" s="2" t="s">
        <v>57</v>
      </c>
      <c r="B18" s="3" t="s">
        <v>58</v>
      </c>
      <c r="C18" s="2" t="s">
        <v>50</v>
      </c>
      <c r="D18" s="2" t="s">
        <v>13</v>
      </c>
      <c r="E18" s="2" t="s">
        <v>14</v>
      </c>
      <c r="F18" s="2" t="s">
        <v>51</v>
      </c>
      <c r="G18" s="4">
        <v>46231</v>
      </c>
      <c r="H18" s="2" t="s">
        <v>16</v>
      </c>
      <c r="I18" s="11" t="s">
        <v>8</v>
      </c>
      <c r="J18" s="3" t="s">
        <v>59</v>
      </c>
    </row>
    <row r="19" spans="1:10" ht="27.75" customHeight="1">
      <c r="A19" s="5" t="s">
        <v>60</v>
      </c>
      <c r="B19" s="6" t="s">
        <v>61</v>
      </c>
      <c r="C19" s="5" t="s">
        <v>62</v>
      </c>
      <c r="D19" s="2" t="s">
        <v>63</v>
      </c>
      <c r="E19" s="5" t="s">
        <v>14</v>
      </c>
      <c r="F19" s="2" t="s">
        <v>15</v>
      </c>
      <c r="G19" s="7">
        <v>46231</v>
      </c>
      <c r="H19" s="2" t="s">
        <v>16</v>
      </c>
      <c r="I19" s="12" t="s">
        <v>8</v>
      </c>
      <c r="J19" s="6"/>
    </row>
    <row r="20" spans="1:10" ht="27.75" customHeight="1">
      <c r="A20" s="2" t="s">
        <v>64</v>
      </c>
      <c r="B20" s="3" t="s">
        <v>65</v>
      </c>
      <c r="C20" s="2" t="s">
        <v>62</v>
      </c>
      <c r="D20" s="2" t="s">
        <v>63</v>
      </c>
      <c r="E20" s="2" t="s">
        <v>14</v>
      </c>
      <c r="F20" s="2" t="s">
        <v>51</v>
      </c>
      <c r="G20" s="4">
        <v>46231</v>
      </c>
      <c r="H20" s="2" t="s">
        <v>16</v>
      </c>
      <c r="I20" s="11" t="s">
        <v>8</v>
      </c>
      <c r="J20" s="3" t="s">
        <v>66</v>
      </c>
    </row>
    <row r="21" spans="1:10" ht="27.75" customHeight="1">
      <c r="A21" s="5" t="s">
        <v>67</v>
      </c>
      <c r="B21" s="6" t="s">
        <v>68</v>
      </c>
      <c r="C21" s="5" t="s">
        <v>69</v>
      </c>
      <c r="D21" s="2" t="s">
        <v>63</v>
      </c>
      <c r="E21" s="5" t="s">
        <v>14</v>
      </c>
      <c r="F21" s="2" t="s">
        <v>15</v>
      </c>
      <c r="G21" s="7">
        <v>46231</v>
      </c>
      <c r="H21" s="2" t="s">
        <v>16</v>
      </c>
      <c r="I21" s="12" t="s">
        <v>8</v>
      </c>
      <c r="J21" s="6"/>
    </row>
    <row r="22" spans="1:10" ht="27.75" customHeight="1">
      <c r="A22" s="5" t="s">
        <v>70</v>
      </c>
      <c r="B22" s="6" t="s">
        <v>71</v>
      </c>
      <c r="C22" s="5" t="s">
        <v>50</v>
      </c>
      <c r="D22" s="2" t="s">
        <v>13</v>
      </c>
      <c r="E22" s="5" t="s">
        <v>14</v>
      </c>
      <c r="F22" s="2" t="s">
        <v>51</v>
      </c>
      <c r="G22" s="7">
        <v>46231</v>
      </c>
      <c r="H22" s="2" t="s">
        <v>16</v>
      </c>
      <c r="I22" s="12" t="s">
        <v>8</v>
      </c>
      <c r="J22" s="6" t="s">
        <v>72</v>
      </c>
    </row>
    <row r="24" spans="1:10">
      <c r="A24" s="8" t="s">
        <v>73</v>
      </c>
    </row>
    <row r="25" spans="1:10">
      <c r="A25" s="8" t="s">
        <v>74</v>
      </c>
      <c r="B25" s="9">
        <f>COUNTA(A2:A22)</f>
        <v>21</v>
      </c>
    </row>
    <row r="26" spans="1:10">
      <c r="A26" s="8" t="s">
        <v>15</v>
      </c>
      <c r="B26" s="9">
        <f>COUNTIF(F2:F22,"Passou")</f>
        <v>17</v>
      </c>
    </row>
    <row r="27" spans="1:10">
      <c r="A27" s="8" t="s">
        <v>51</v>
      </c>
      <c r="B27" s="9">
        <f>COUNTIF(F2:F22,"Falhou")</f>
        <v>4</v>
      </c>
    </row>
    <row r="28" spans="1:10">
      <c r="A28" s="8" t="s">
        <v>75</v>
      </c>
      <c r="B28" s="9">
        <f>COUNTIF(F2:F21,"Bloqueado")</f>
        <v>0</v>
      </c>
    </row>
    <row r="29" spans="1:10">
      <c r="A29" s="8" t="s">
        <v>76</v>
      </c>
      <c r="B29" s="9">
        <f>COUNTIF(F2:F22,"Não executado")</f>
        <v>0</v>
      </c>
    </row>
    <row r="30" spans="1:10">
      <c r="A30" s="8" t="s">
        <v>77</v>
      </c>
      <c r="B30" s="10">
        <f>(COUNTA(F2:F22)-COUNTIF(F2:F22,"Não executado"))/COUNTA(A2:A22)</f>
        <v>1</v>
      </c>
    </row>
  </sheetData>
  <conditionalFormatting sqref="F2:F22">
    <cfRule type="cellIs" dxfId="3" priority="2" operator="equal">
      <formula>"Passou"</formula>
    </cfRule>
    <cfRule type="cellIs" dxfId="2" priority="3" operator="equal">
      <formula>"Falhou"</formula>
    </cfRule>
    <cfRule type="cellIs" dxfId="1" priority="4" operator="equal">
      <formula>"Bloqueado"</formula>
    </cfRule>
    <cfRule type="cellIs" dxfId="0" priority="5" operator="equal">
      <formula>"Não executado"</formula>
    </cfRule>
  </conditionalFormatting>
  <dataValidations count="2">
    <dataValidation type="list" allowBlank="1" sqref="F2:F22" xr:uid="{00000000-0002-0000-0000-000000000000}">
      <formula1>"Não executado,Passou,Falhou,Bloqueado"</formula1>
      <formula2>0</formula2>
    </dataValidation>
    <dataValidation type="list" allowBlank="1" sqref="E2:E22" xr:uid="{00000000-0002-0000-0000-000001000000}">
      <formula1>"Ciclo 1,Ciclo 2,Ciclo 3"</formula1>
      <formula2>0</formula2>
    </dataValidation>
  </dataValidations>
  <hyperlinks>
    <hyperlink ref="I2" r:id="rId1" xr:uid="{2BCA1ADE-A365-4C86-B658-07453260E7E0}"/>
    <hyperlink ref="I3" r:id="rId2" xr:uid="{15D399B3-7281-491E-B210-CF080BC6CE66}"/>
    <hyperlink ref="I4" r:id="rId3" xr:uid="{5C89FDAA-2310-4040-BF1F-78B3C7446B41}"/>
    <hyperlink ref="I5" r:id="rId4" xr:uid="{A56E758A-FEE4-4F03-9BB7-9AA1968E0847}"/>
    <hyperlink ref="I6" r:id="rId5" xr:uid="{A90E4649-EDEF-4CBB-8BEE-01C4B7BB8F43}"/>
    <hyperlink ref="I7" r:id="rId6" xr:uid="{6192520A-DD59-44CB-839A-304F27597550}"/>
    <hyperlink ref="I8" r:id="rId7" xr:uid="{3BE00C50-CDBB-402F-8DAB-63588D611191}"/>
    <hyperlink ref="I9" r:id="rId8" xr:uid="{7F33F7DE-A4C0-4B59-822A-6379BB974C03}"/>
    <hyperlink ref="I10" r:id="rId9" xr:uid="{E68BD0E7-D9C9-4A2C-B2EE-A06F9A898D82}"/>
    <hyperlink ref="I11" r:id="rId10" xr:uid="{2B0F8F50-8770-4326-BA8E-A88568043D32}"/>
    <hyperlink ref="I12" r:id="rId11" xr:uid="{28EA2DF3-970F-4955-A16B-D0BBA6E0FF52}"/>
    <hyperlink ref="I13" r:id="rId12" xr:uid="{70D55BEA-8D18-4F3F-BCFF-4EBA5102A5F4}"/>
    <hyperlink ref="I14" r:id="rId13" xr:uid="{7E8C67FF-2CBD-4008-B491-0924510D450B}"/>
    <hyperlink ref="I15" r:id="rId14" xr:uid="{08127EEB-9DC7-4872-99FF-ECD73D421A52}"/>
    <hyperlink ref="I16" r:id="rId15" xr:uid="{CB0B686F-B19C-4619-A223-1E0D37E90B62}"/>
    <hyperlink ref="I17" r:id="rId16" xr:uid="{A2BBC5DE-390C-472B-8DF9-639CA55161D0}"/>
    <hyperlink ref="I18" r:id="rId17" xr:uid="{69F9A827-6954-4BDC-BD71-0883FB37B914}"/>
    <hyperlink ref="I19" r:id="rId18" xr:uid="{ED6EF5BF-76B0-4623-A826-4F9736B71C60}"/>
    <hyperlink ref="I20" r:id="rId19" xr:uid="{6983A0F7-D706-43E2-941B-2CB4039AB2A4}"/>
    <hyperlink ref="I21" r:id="rId20" xr:uid="{80A4BC13-80E8-4A18-A9A1-6E0CABECF0B3}"/>
    <hyperlink ref="I22" r:id="rId21" xr:uid="{F23933EE-2206-4DBE-8BA2-9958BA2600ED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2026-07-28T18:21:18Z</dcterms:created>
  <dcterms:modified xsi:type="dcterms:W3CDTF">2026-07-29T03:03:16Z</dcterms:modified>
  <cp:category/>
  <cp:contentStatus/>
</cp:coreProperties>
</file>